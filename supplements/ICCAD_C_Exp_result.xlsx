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<sst xmlns="http://schemas.openxmlformats.org/spreadsheetml/2006/main" count="46" uniqueCount="43">
  <si>
    <t>TNS</t>
  </si>
  <si>
    <t>TNS improvement(%, compared with baseline)</t>
  </si>
  <si>
    <t>WNS</t>
  </si>
  <si>
    <t>Total power(W)</t>
  </si>
  <si>
    <t>HPWL</t>
  </si>
  <si>
    <t>Runtime(s) (operation/total)</t>
  </si>
  <si>
    <t>Actions</t>
  </si>
  <si>
    <t>Command</t>
  </si>
  <si>
    <t>BOBO's note</t>
  </si>
  <si>
    <t>baseline</t>
  </si>
  <si>
    <t>32394.3 u</t>
  </si>
  <si>
    <t>NA/8.463</t>
  </si>
  <si>
    <t>NA</t>
  </si>
  <si>
    <r>
      <rPr>
        <rFont val="Arial, sans-serif"/>
        <color rgb="FF000000"/>
        <sz val="12.0"/>
      </rPr>
      <t>repair-time
(</t>
    </r>
    <r>
      <rPr>
        <rFont val="Arial, sans-serif"/>
        <color rgb="FF980000"/>
        <sz val="12.0"/>
      </rPr>
      <t>NOT LEGAL</t>
    </r>
    <r>
      <rPr>
        <rFont val="Arial, sans-serif"/>
        <color rgb="FF000000"/>
        <sz val="12.0"/>
      </rPr>
      <t>)</t>
    </r>
  </si>
  <si>
    <t>85.012/93.272</t>
  </si>
  <si>
    <t>[INFO RSZ-0045] Inserted 396 buffers, 1 to split loads.
[INFO RSZ-0041] Resized 1761 instances.
[INFO RSZ-0043] Swapped pins on 170 instances.
[INFO RSZ-0049] Cloned 19 instances.</t>
  </si>
  <si>
    <t>repair_timing -setup</t>
  </si>
  <si>
    <t>repair-time
(legal move)
BUFFER+RESIZE</t>
  </si>
  <si>
    <t>63.891/71.9</t>
  </si>
  <si>
    <t>[INFO RSZ-0045] Inserted 385 buffers, 1 to split loads.
[INFO RSZ-0041] Resized 1541 instances.</t>
  </si>
  <si>
    <t>repair_timing -setup \
              -skip_pin_swap \
              -skip_gate_cloning \
              -skip_buffer_removal</t>
  </si>
  <si>
    <t>repair_legal.tcl=repair_legal_dp</t>
  </si>
  <si>
    <t>repair-time
(legal move)
BUFFER+RESIZE
+detail placement</t>
  </si>
  <si>
    <t>40027.2 u</t>
  </si>
  <si>
    <t>62.646/71.237</t>
  </si>
  <si>
    <t>total displacement       6235.5 u
average displacement        0.6 u
max displacement            7.8 u
original HPWL           33244.4 u
legalized HPWL          40027.2 u
delta HPWL                   20 %</t>
  </si>
  <si>
    <t>repair_legal_test.tcl</t>
  </si>
  <si>
    <t>repair-time
(no buffer insertion)
ONLY RESIZE</t>
  </si>
  <si>
    <t>116.709/124.416</t>
  </si>
  <si>
    <t>[INFO RSZ-0041] Resized 2560 instances</t>
  </si>
  <si>
    <t>repair_timing -setup \
              -skip_pin_swap \
              -skip_gate_cloning \
              -skip_buffer_removal \
              -skip_buffering</t>
  </si>
  <si>
    <t>repair_legal_nobuffer.tcl</t>
  </si>
  <si>
    <t>repair-time
(no buffer insertion)
ONLY RESIZE
+detail placement</t>
  </si>
  <si>
    <t>35290.9 u</t>
  </si>
  <si>
    <t>112.718/121.441</t>
  </si>
  <si>
    <t>total displacement       2929.4 u
average displacement        0.3 u
max displacement            4.8 u
original HPWL           32475.5 u
legalized HPWL          35290.9 u
delta HPWL                    9 %</t>
  </si>
  <si>
    <t>repair_legal_nobuffer_dp.tcl</t>
  </si>
  <si>
    <t>ONLY BUFFER?</t>
  </si>
  <si>
    <t>detail placement
repair-time
(legal move)
BUFFER+RESIZE
+detail placement</t>
  </si>
  <si>
    <t>44278.3 u</t>
  </si>
  <si>
    <t>70.47/79.852</t>
  </si>
  <si>
    <t>total displacement          0.0 u
average displacement        0.0 u
max displacement            0.0 u
original HPWL           32467.4 u
legalized HPWL          32394.3 u
delta HPWL                    0 %
-----------------------------
[INFO RSZ-0045] Inserted 412 buffers, 1 to split loads.
[INFO RSZ-0041] Resized 1605 instances.
-----------------------------
total displacement       6583.4 u
average displacement        0.6 u
max displacement            8.0 u
original HPWL           33226.9 u
legalized HPWL          40497.8 u
delta HPWL                   22 %</t>
  </si>
  <si>
    <t>repair_legal_drd.tcl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</si>
</sst>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11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2" xfId="0" applyAlignment="1" applyBorder="1" applyFont="1" applyNumberFormat="1">
      <alignment horizontal="center" readingOrder="0" shrinkToFit="0" vertical="center" wrapText="1"/>
    </xf>
    <xf borderId="1" fillId="2" fontId="1" numFmtId="11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1" numFmtId="11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11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1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5" max="6" width="16.38"/>
    <col customWidth="1" min="7" max="7" width="23.38"/>
    <col customWidth="1" min="8" max="8" width="52.75"/>
    <col customWidth="1" min="9" max="9" width="31.75"/>
    <col customWidth="1" min="10" max="10" width="27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2" t="s">
        <v>9</v>
      </c>
      <c r="B2" s="3">
        <v>-100709.3</v>
      </c>
      <c r="C2" s="3">
        <v>0.0</v>
      </c>
      <c r="D2" s="3">
        <v>-339.64</v>
      </c>
      <c r="E2" s="8">
        <v>0.0553</v>
      </c>
      <c r="F2" s="8" t="s">
        <v>10</v>
      </c>
      <c r="G2" s="9" t="s">
        <v>11</v>
      </c>
      <c r="H2" s="4" t="s">
        <v>12</v>
      </c>
      <c r="I2" s="4" t="s">
        <v>12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0" t="s">
        <v>13</v>
      </c>
      <c r="B3" s="11">
        <v>-11687.35</v>
      </c>
      <c r="C3" s="12">
        <f t="shared" ref="C3:C7" si="1">(B3-$B$2)*100/$B$2</f>
        <v>-88.39496452</v>
      </c>
      <c r="D3" s="11">
        <v>-45.12</v>
      </c>
      <c r="E3" s="13">
        <v>0.058</v>
      </c>
      <c r="F3" s="13"/>
      <c r="G3" s="11" t="s">
        <v>14</v>
      </c>
      <c r="H3" s="14" t="s">
        <v>15</v>
      </c>
      <c r="I3" s="15" t="s">
        <v>16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0" t="s">
        <v>17</v>
      </c>
      <c r="B4" s="11">
        <v>-12185.75</v>
      </c>
      <c r="C4" s="12">
        <f t="shared" si="1"/>
        <v>-87.90007477</v>
      </c>
      <c r="D4" s="11">
        <v>-46.33</v>
      </c>
      <c r="E4" s="13">
        <v>0.0577</v>
      </c>
      <c r="F4" s="13"/>
      <c r="G4" s="16" t="s">
        <v>18</v>
      </c>
      <c r="H4" s="14" t="s">
        <v>19</v>
      </c>
      <c r="I4" s="15" t="s">
        <v>20</v>
      </c>
      <c r="J4" s="6" t="s">
        <v>21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2" t="s">
        <v>22</v>
      </c>
      <c r="B5" s="9">
        <v>-15592.41</v>
      </c>
      <c r="C5" s="12">
        <f t="shared" si="1"/>
        <v>-84.51740802</v>
      </c>
      <c r="D5" s="9">
        <v>-81.69</v>
      </c>
      <c r="E5" s="17">
        <v>0.0591</v>
      </c>
      <c r="F5" s="17" t="s">
        <v>23</v>
      </c>
      <c r="G5" s="3" t="s">
        <v>24</v>
      </c>
      <c r="H5" s="9" t="s">
        <v>25</v>
      </c>
      <c r="I5" s="5" t="s">
        <v>20</v>
      </c>
      <c r="J5" s="6" t="s">
        <v>26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8" t="s">
        <v>27</v>
      </c>
      <c r="B6" s="19">
        <v>-13444.71</v>
      </c>
      <c r="C6" s="12">
        <f t="shared" si="1"/>
        <v>-86.64998168</v>
      </c>
      <c r="D6" s="19">
        <v>-57.79</v>
      </c>
      <c r="E6" s="20">
        <v>0.0571</v>
      </c>
      <c r="F6" s="20"/>
      <c r="G6" s="19" t="s">
        <v>28</v>
      </c>
      <c r="H6" s="18" t="s">
        <v>29</v>
      </c>
      <c r="I6" s="21" t="s">
        <v>30</v>
      </c>
      <c r="J6" s="6" t="s">
        <v>31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22" t="s">
        <v>32</v>
      </c>
      <c r="B7" s="23">
        <v>-15946.53</v>
      </c>
      <c r="C7" s="12">
        <f t="shared" si="1"/>
        <v>-84.16578211</v>
      </c>
      <c r="D7" s="23">
        <v>-72.1</v>
      </c>
      <c r="E7" s="24">
        <v>0.0577</v>
      </c>
      <c r="F7" s="24" t="s">
        <v>33</v>
      </c>
      <c r="G7" s="23" t="s">
        <v>34</v>
      </c>
      <c r="H7" s="23" t="s">
        <v>35</v>
      </c>
      <c r="I7" s="5" t="s">
        <v>30</v>
      </c>
      <c r="J7" s="6" t="s">
        <v>36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22" t="s">
        <v>37</v>
      </c>
      <c r="B8" s="25"/>
      <c r="C8" s="12"/>
      <c r="D8" s="25"/>
      <c r="E8" s="25"/>
      <c r="F8" s="26"/>
      <c r="G8" s="25"/>
      <c r="H8" s="25"/>
      <c r="I8" s="2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25"/>
      <c r="B9" s="25"/>
      <c r="C9" s="12"/>
      <c r="D9" s="25"/>
      <c r="E9" s="25"/>
      <c r="F9" s="26"/>
      <c r="G9" s="25"/>
      <c r="H9" s="25"/>
      <c r="I9" s="2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5" t="s">
        <v>38</v>
      </c>
      <c r="B10" s="23">
        <v>-14786.6</v>
      </c>
      <c r="C10" s="12">
        <f>(B10-$B$2)*100/$B$2</f>
        <v>-85.31754267</v>
      </c>
      <c r="D10" s="23">
        <v>-85.95</v>
      </c>
      <c r="E10" s="24">
        <v>0.0592</v>
      </c>
      <c r="F10" s="24" t="s">
        <v>39</v>
      </c>
      <c r="G10" s="23" t="s">
        <v>40</v>
      </c>
      <c r="H10" s="28" t="s">
        <v>41</v>
      </c>
      <c r="I10" s="27"/>
      <c r="J10" s="29" t="s">
        <v>42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30"/>
      <c r="C11" s="30"/>
      <c r="D11" s="30"/>
      <c r="E11" s="30"/>
      <c r="F11" s="30"/>
      <c r="G11" s="3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30"/>
      <c r="C12" s="30"/>
      <c r="D12" s="30"/>
      <c r="E12" s="30"/>
      <c r="F12" s="30"/>
      <c r="G12" s="3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30"/>
      <c r="C13" s="30"/>
      <c r="D13" s="30"/>
      <c r="E13" s="30"/>
      <c r="F13" s="30"/>
      <c r="G13" s="3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30"/>
      <c r="C14" s="30"/>
      <c r="D14" s="30"/>
      <c r="E14" s="30"/>
      <c r="F14" s="30"/>
      <c r="G14" s="3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30"/>
      <c r="C15" s="30"/>
      <c r="D15" s="30"/>
      <c r="E15" s="30"/>
      <c r="F15" s="30"/>
      <c r="G15" s="3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30"/>
      <c r="C16" s="30"/>
      <c r="D16" s="30"/>
      <c r="E16" s="30"/>
      <c r="F16" s="30"/>
      <c r="G16" s="3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30"/>
      <c r="C17" s="30"/>
      <c r="D17" s="30"/>
      <c r="E17" s="30"/>
      <c r="F17" s="30"/>
      <c r="G17" s="3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30"/>
      <c r="C18" s="30"/>
      <c r="D18" s="30"/>
      <c r="E18" s="30"/>
      <c r="F18" s="30"/>
      <c r="G18" s="3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30"/>
      <c r="C19" s="30"/>
      <c r="D19" s="30"/>
      <c r="E19" s="30"/>
      <c r="F19" s="30"/>
      <c r="G19" s="3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30"/>
      <c r="C20" s="30"/>
      <c r="D20" s="30"/>
      <c r="E20" s="30"/>
      <c r="F20" s="30"/>
      <c r="G20" s="3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30"/>
      <c r="C21" s="30"/>
      <c r="D21" s="30"/>
      <c r="E21" s="30"/>
      <c r="F21" s="30"/>
      <c r="G21" s="3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30"/>
      <c r="C22" s="30"/>
      <c r="D22" s="30"/>
      <c r="E22" s="30"/>
      <c r="F22" s="30"/>
      <c r="G22" s="3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30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drawing r:id="rId1"/>
</worksheet>
</file>